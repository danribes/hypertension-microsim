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&quot;$&quot;#,##0"/>
    <numFmt numFmtId="167" formatCode="0.000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</font>
    <font>
      <b val="1"/>
      <color rgb="001F4E79"/>
      <sz val="20"/>
    </font>
    <font>
      <i val="1"/>
      <color rgb="00666666"/>
      <sz val="14"/>
    </font>
    <font>
      <b val="1"/>
      <color rgb="001F4E79"/>
      <sz val="11"/>
    </font>
    <font>
      <b val="1"/>
      <color rgb="001F4E79"/>
      <sz val="16"/>
    </font>
    <font>
      <i val="1"/>
      <color rgb="00E67300"/>
      <sz val="11"/>
    </font>
    <font>
      <i val="1"/>
      <color rgb="00666666"/>
      <sz val="11"/>
    </font>
    <font>
      <b val="1"/>
      <color rgb="00228B22"/>
      <sz val="12"/>
    </font>
    <font>
      <i val="1"/>
      <color rgb="00228B22"/>
      <sz val="11"/>
    </font>
    <font>
      <b val="1"/>
      <color rgb="00228B2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3" borderId="1" applyAlignment="1" applyProtection="1">
      <alignment horizontal="right"/>
      <protection locked="0" hidden="0"/>
    </xf>
    <xf numFmtId="0" fontId="3" fillId="4" borderId="1" applyAlignment="1">
      <alignment horizontal="right"/>
    </xf>
  </cellStyleXfs>
  <cellXfs count="2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3" fontId="2" fillId="3" borderId="1" applyAlignment="1" applyProtection="1" pivotButton="0" quotePrefix="0" xfId="2">
      <alignment horizontal="right"/>
      <protection locked="0" hidden="0"/>
    </xf>
    <xf numFmtId="1" fontId="2" fillId="3" borderId="1" applyAlignment="1" applyProtection="1" pivotButton="0" quotePrefix="0" xfId="2">
      <alignment horizontal="right"/>
      <protection locked="0" hidden="0"/>
    </xf>
    <xf numFmtId="164" fontId="2" fillId="3" borderId="1" applyAlignment="1" applyProtection="1" pivotButton="0" quotePrefix="0" xfId="2">
      <alignment horizontal="right"/>
      <protection locked="0" hidden="0"/>
    </xf>
    <xf numFmtId="49" fontId="2" fillId="3" borderId="1" applyAlignment="1" applyProtection="1" pivotButton="0" quotePrefix="0" xfId="2">
      <alignment horizontal="right"/>
      <protection locked="0" hidden="0"/>
    </xf>
    <xf numFmtId="165" fontId="2" fillId="3" borderId="1" applyAlignment="1" applyProtection="1" pivotButton="0" quotePrefix="0" xfId="2">
      <alignment horizontal="right"/>
      <protection locked="0" hidden="0"/>
    </xf>
    <xf numFmtId="166" fontId="2" fillId="3" borderId="1" applyAlignment="1" applyProtection="1" pivotButton="0" quotePrefix="0" xfId="2">
      <alignment horizontal="right"/>
      <protection locked="0" hidden="0"/>
    </xf>
    <xf numFmtId="2" fontId="2" fillId="3" borderId="1" applyAlignment="1" applyProtection="1" pivotButton="0" quotePrefix="0" xfId="2">
      <alignment horizontal="right"/>
      <protection locked="0" hidden="0"/>
    </xf>
    <xf numFmtId="0" fontId="9" fillId="0" borderId="0" pivotButton="0" quotePrefix="0" xfId="0"/>
    <xf numFmtId="166" fontId="3" fillId="4" borderId="1" applyAlignment="1" pivotButton="0" quotePrefix="0" xfId="3">
      <alignment horizontal="right"/>
    </xf>
    <xf numFmtId="167" fontId="3" fillId="4" borderId="1" applyAlignment="1" pivotButton="0" quotePrefix="0" xfId="3">
      <alignment horizontal="right"/>
    </xf>
    <xf numFmtId="0" fontId="10" fillId="0" borderId="0" pivotButton="0" quotePrefix="0" xfId="0"/>
    <xf numFmtId="0" fontId="11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2" fillId="0" borderId="0" pivotButton="0" quotePrefix="0" xfId="0"/>
  </cellXfs>
  <cellStyles count="4">
    <cellStyle name="Normal" xfId="0" builtinId="0" hidden="0"/>
    <cellStyle name="header_style" xfId="1" hidden="0"/>
    <cellStyle name="input_style" xfId="2" hidden="0"/>
    <cellStyle name="result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1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2">
      <c r="B2" s="1" t="inlineStr">
        <is>
          <t>IXA-001 COST-EFFECTIVENESS MODEL</t>
        </is>
      </c>
    </row>
    <row r="3">
      <c r="B3" s="2" t="inlineStr">
        <is>
          <t>Hybrid Excel-Python Interface</t>
        </is>
      </c>
    </row>
    <row r="5">
      <c r="B5" t="inlineStr"/>
    </row>
    <row r="6">
      <c r="B6" s="3" t="inlineStr">
        <is>
          <t>HOW TO USE THIS MODEL</t>
        </is>
      </c>
    </row>
    <row r="7">
      <c r="B7">
        <f>=================================================</f>
        <v/>
      </c>
    </row>
    <row r="8">
      <c r="B8" t="inlineStr"/>
    </row>
    <row r="9">
      <c r="B9" s="3" t="inlineStr">
        <is>
          <t>OPTION 1: USE PRE-COMPUTED SCENARIOS (Instant Results)</t>
        </is>
      </c>
    </row>
    <row r="10">
      <c r="B10" t="inlineStr">
        <is>
          <t>--------------------------------------------------</t>
        </is>
      </c>
    </row>
    <row r="11">
      <c r="B11" t="inlineStr">
        <is>
          <t>1. Go to 'Scenarios' sheet to see pre-computed results</t>
        </is>
      </c>
    </row>
    <row r="12">
      <c r="B12" t="inlineStr">
        <is>
          <t>2. Results available for: Base Case, Price Sensitivity, Subgroups</t>
        </is>
      </c>
    </row>
    <row r="13">
      <c r="B13" t="inlineStr">
        <is>
          <t>3. No waiting - results are already calculated!</t>
        </is>
      </c>
    </row>
    <row r="14">
      <c r="B14" t="inlineStr"/>
    </row>
    <row r="15">
      <c r="B15" s="3" t="inlineStr">
        <is>
          <t>OPTION 2: RUN CUSTOM SCENARIOS (5-10 minutes)</t>
        </is>
      </c>
    </row>
    <row r="16">
      <c r="B16" t="inlineStr">
        <is>
          <t>--------------------------------------------------</t>
        </is>
      </c>
    </row>
    <row r="17">
      <c r="B17" t="inlineStr">
        <is>
          <t>1. Go to 'Inputs' sheet and modify YELLOW cells</t>
        </is>
      </c>
    </row>
    <row r="18">
      <c r="B18" t="inlineStr">
        <is>
          <t>2. Save this Excel file</t>
        </is>
      </c>
    </row>
    <row r="19">
      <c r="B19" t="inlineStr">
        <is>
          <t>3. Run the Python bridge script:</t>
        </is>
      </c>
    </row>
    <row r="20">
      <c r="B20" t="inlineStr">
        <is>
          <t xml:space="preserve">   python run_cea_from_excel.py --input THIS_FILE.xlsx</t>
        </is>
      </c>
    </row>
    <row r="21">
      <c r="B21" t="inlineStr">
        <is>
          <t>4. Results will be written back to this file</t>
        </is>
      </c>
    </row>
    <row r="22">
      <c r="B22" t="inlineStr">
        <is>
          <t>5. Open the updated file to see your results</t>
        </is>
      </c>
    </row>
    <row r="23">
      <c r="B23" t="inlineStr"/>
    </row>
    <row r="24">
      <c r="B24" s="3" t="inlineStr">
        <is>
          <t>WHAT YOU CAN MODIFY</t>
        </is>
      </c>
    </row>
    <row r="25">
      <c r="B25" t="inlineStr">
        <is>
          <t>--------------------------------------------------</t>
        </is>
      </c>
    </row>
    <row r="26">
      <c r="B26" t="inlineStr">
        <is>
          <t>- Population: Age, sex distribution, comorbidities</t>
        </is>
      </c>
    </row>
    <row r="27">
      <c r="B27" t="inlineStr">
        <is>
          <t>- Treatment: SBP reduction, costs, discontinuation rates</t>
        </is>
      </c>
    </row>
    <row r="28">
      <c r="B28" t="inlineStr">
        <is>
          <t>- Costs: Event costs, annual management costs</t>
        </is>
      </c>
    </row>
    <row r="29">
      <c r="B29" t="inlineStr">
        <is>
          <t>- Utilities: Health state preferences (QALYs)</t>
        </is>
      </c>
    </row>
    <row r="30">
      <c r="B30" t="inlineStr">
        <is>
          <t>- Settings: Time horizon, discount rate, sample size</t>
        </is>
      </c>
    </row>
    <row r="31">
      <c r="B31" t="inlineStr"/>
    </row>
    <row r="32">
      <c r="B32" s="3" t="inlineStr">
        <is>
          <t>MODEL OUTPUTS</t>
        </is>
      </c>
    </row>
    <row r="33">
      <c r="B33" t="inlineStr">
        <is>
          <t>--------------------------------------------------</t>
        </is>
      </c>
    </row>
    <row r="34">
      <c r="B34" t="inlineStr">
        <is>
          <t>- ICER (Incremental Cost-Effectiveness Ratio)</t>
        </is>
      </c>
    </row>
    <row r="35">
      <c r="B35" t="inlineStr">
        <is>
          <t>- Total Costs and QALYs per patient</t>
        </is>
      </c>
    </row>
    <row r="36">
      <c r="B36" t="inlineStr">
        <is>
          <t>- Event counts (MI, Stroke, HF, ESRD)</t>
        </is>
      </c>
    </row>
    <row r="37">
      <c r="B37" t="inlineStr">
        <is>
          <t>- Sensitivity analysis results</t>
        </is>
      </c>
    </row>
    <row r="38">
      <c r="B38" t="inlineStr"/>
    </row>
    <row r="39">
      <c r="B39" s="3" t="inlineStr">
        <is>
          <t>COLOR LEGEND</t>
        </is>
      </c>
    </row>
    <row r="40">
      <c r="B40" t="inlineStr">
        <is>
          <t>--------------------------------------------------</t>
        </is>
      </c>
    </row>
    <row r="41">
      <c r="B41" t="inlineStr">
        <is>
          <t>YELLOW = Editable input (modify these)</t>
        </is>
      </c>
    </row>
    <row r="42">
      <c r="B42" t="inlineStr">
        <is>
          <t>GREEN = Results (automatically calculated)</t>
        </is>
      </c>
    </row>
    <row r="43">
      <c r="B43" t="inlineStr">
        <is>
          <t>BLUE = Pre-computed scenarios</t>
        </is>
      </c>
    </row>
    <row r="44">
      <c r="B44" t="inlineStr">
        <is>
          <t>GRAY = Locked/system values</t>
        </is>
      </c>
    </row>
    <row r="45">
      <c r="B45" t="inlineStr"/>
    </row>
    <row r="46">
      <c r="B46" s="3" t="inlineStr">
        <is>
          <t>IMPORTANT NOTES</t>
        </is>
      </c>
    </row>
    <row r="47">
      <c r="B47" t="inlineStr">
        <is>
          <t>--------------------------------------------------</t>
        </is>
      </c>
    </row>
    <row r="48">
      <c r="B48" t="inlineStr">
        <is>
          <t>- Each simulation run takes 5-10 minutes</t>
        </is>
      </c>
    </row>
    <row r="49">
      <c r="B49" t="inlineStr">
        <is>
          <t>- Use pre-computed scenarios when possible for speed</t>
        </is>
      </c>
    </row>
    <row r="50">
      <c r="B50" t="inlineStr">
        <is>
          <t>- Results are based on 1,000 patient Monte Carlo simulation</t>
        </is>
      </c>
    </row>
    <row r="51">
      <c r="B51" t="inlineStr">
        <is>
          <t>- ICER &lt; $100,000/QALY is considered cost-effective (US)</t>
        </is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5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  <col width="12" customWidth="1" min="4" max="4"/>
    <col width="10" customWidth="1" min="5" max="5"/>
  </cols>
  <sheetData>
    <row r="2">
      <c r="B2" s="4" t="inlineStr">
        <is>
          <t>MODEL INPUTS</t>
        </is>
      </c>
    </row>
    <row r="3">
      <c r="B3" s="5" t="inlineStr">
        <is>
          <t>Modify YELLOW cells, save file, then run Python script</t>
        </is>
      </c>
    </row>
    <row r="5">
      <c r="B5" s="6" t="inlineStr">
        <is>
          <t>SIMULATION SETTINGS</t>
        </is>
      </c>
      <c r="C5" s="7" t="n"/>
      <c r="D5" s="7" t="n"/>
      <c r="E5" s="8" t="n"/>
    </row>
    <row r="6">
      <c r="B6" t="inlineStr">
        <is>
          <t>Number of Patients</t>
        </is>
      </c>
      <c r="C6" s="9" t="n">
        <v>1000</v>
      </c>
      <c r="D6" t="inlineStr">
        <is>
          <t>patients</t>
        </is>
      </c>
    </row>
    <row r="7">
      <c r="B7" t="inlineStr">
        <is>
          <t>Time Horizon</t>
        </is>
      </c>
      <c r="C7" s="10" t="n">
        <v>40</v>
      </c>
      <c r="D7" t="inlineStr">
        <is>
          <t>years</t>
        </is>
      </c>
    </row>
    <row r="8">
      <c r="B8" t="inlineStr">
        <is>
          <t>Discount Rate</t>
        </is>
      </c>
      <c r="C8" s="11" t="n">
        <v>0.03</v>
      </c>
      <c r="D8" t="inlineStr"/>
    </row>
    <row r="9">
      <c r="B9" t="inlineStr">
        <is>
          <t>Cost Perspective</t>
        </is>
      </c>
      <c r="C9" s="12" t="inlineStr">
        <is>
          <t>US</t>
        </is>
      </c>
      <c r="D9" t="inlineStr">
        <is>
          <t>(US/UK)</t>
        </is>
      </c>
    </row>
    <row r="10">
      <c r="B10" t="inlineStr">
        <is>
          <t>Random Seed</t>
        </is>
      </c>
      <c r="C10" s="10" t="n">
        <v>42</v>
      </c>
      <c r="D10" t="inlineStr"/>
    </row>
    <row r="12">
      <c r="B12" s="6" t="inlineStr">
        <is>
          <t>POPULATION PARAMETERS</t>
        </is>
      </c>
      <c r="C12" s="7" t="n"/>
      <c r="D12" s="7" t="n"/>
      <c r="E12" s="8" t="n"/>
    </row>
    <row r="13">
      <c r="B13" t="inlineStr">
        <is>
          <t>Age - Mean</t>
        </is>
      </c>
      <c r="C13" s="13" t="n">
        <v>62</v>
      </c>
      <c r="D13" t="inlineStr">
        <is>
          <t>years</t>
        </is>
      </c>
    </row>
    <row r="14">
      <c r="B14" t="inlineStr">
        <is>
          <t>Age - SD</t>
        </is>
      </c>
      <c r="C14" s="13" t="n">
        <v>10</v>
      </c>
      <c r="D14" t="inlineStr">
        <is>
          <t>years</t>
        </is>
      </c>
    </row>
    <row r="15">
      <c r="B15" t="inlineStr">
        <is>
          <t>Proportion Male</t>
        </is>
      </c>
      <c r="C15" s="11" t="n">
        <v>0.55</v>
      </c>
      <c r="D15" t="inlineStr"/>
    </row>
    <row r="16">
      <c r="B16" t="inlineStr">
        <is>
          <t>Baseline SBP - Mean</t>
        </is>
      </c>
      <c r="C16" s="13" t="n">
        <v>155</v>
      </c>
      <c r="D16" t="inlineStr">
        <is>
          <t>mmHg</t>
        </is>
      </c>
    </row>
    <row r="17">
      <c r="B17" t="inlineStr">
        <is>
          <t>Baseline SBP - SD</t>
        </is>
      </c>
      <c r="C17" s="13" t="n">
        <v>15</v>
      </c>
      <c r="D17" t="inlineStr">
        <is>
          <t>mmHg</t>
        </is>
      </c>
    </row>
    <row r="18">
      <c r="B18" t="inlineStr">
        <is>
          <t>Baseline eGFR - Mean</t>
        </is>
      </c>
      <c r="C18" s="13" t="n">
        <v>68</v>
      </c>
      <c r="D18" t="inlineStr">
        <is>
          <t>mL/min</t>
        </is>
      </c>
    </row>
    <row r="19">
      <c r="B19" t="inlineStr">
        <is>
          <t>Baseline eGFR - SD</t>
        </is>
      </c>
      <c r="C19" s="13" t="n">
        <v>20</v>
      </c>
      <c r="D19" t="inlineStr">
        <is>
          <t>mL/min</t>
        </is>
      </c>
    </row>
    <row r="21">
      <c r="B21" s="6" t="inlineStr">
        <is>
          <t>COMORBIDITY PREVALENCE</t>
        </is>
      </c>
      <c r="C21" s="7" t="n"/>
      <c r="D21" s="7" t="n"/>
      <c r="E21" s="8" t="n"/>
    </row>
    <row r="22">
      <c r="B22" t="inlineStr">
        <is>
          <t>Diabetes</t>
        </is>
      </c>
      <c r="C22" s="11" t="n">
        <v>0.35</v>
      </c>
      <c r="D22" t="inlineStr"/>
    </row>
    <row r="23">
      <c r="B23" t="inlineStr">
        <is>
          <t>Current Smoker</t>
        </is>
      </c>
      <c r="C23" s="11" t="n">
        <v>0.15</v>
      </c>
      <c r="D23" t="inlineStr"/>
    </row>
    <row r="24">
      <c r="B24" t="inlineStr">
        <is>
          <t>Prior MI</t>
        </is>
      </c>
      <c r="C24" s="11" t="n">
        <v>0.1</v>
      </c>
      <c r="D24" t="inlineStr"/>
    </row>
    <row r="25">
      <c r="B25" t="inlineStr">
        <is>
          <t>Prior Stroke</t>
        </is>
      </c>
      <c r="C25" s="11" t="n">
        <v>0.05</v>
      </c>
      <c r="D25" t="inlineStr"/>
    </row>
    <row r="26">
      <c r="B26" t="inlineStr">
        <is>
          <t>Heart Failure</t>
        </is>
      </c>
      <c r="C26" s="11" t="n">
        <v>0.08</v>
      </c>
      <c r="D26" t="inlineStr"/>
    </row>
    <row r="28">
      <c r="B28" s="6" t="inlineStr">
        <is>
          <t>IXA-001 TREATMENT PARAMETERS</t>
        </is>
      </c>
      <c r="C28" s="7" t="n"/>
      <c r="D28" s="7" t="n"/>
      <c r="E28" s="8" t="n"/>
    </row>
    <row r="29">
      <c r="B29" t="inlineStr">
        <is>
          <t>SBP Reduction - Mean</t>
        </is>
      </c>
      <c r="C29" s="13" t="n">
        <v>20</v>
      </c>
      <c r="D29" t="inlineStr">
        <is>
          <t>mmHg</t>
        </is>
      </c>
    </row>
    <row r="30">
      <c r="B30" t="inlineStr">
        <is>
          <t>SBP Reduction - SD</t>
        </is>
      </c>
      <c r="C30" s="13" t="n">
        <v>8</v>
      </c>
      <c r="D30" t="inlineStr">
        <is>
          <t>mmHg</t>
        </is>
      </c>
    </row>
    <row r="31">
      <c r="B31" t="inlineStr">
        <is>
          <t>Monthly Drug Cost</t>
        </is>
      </c>
      <c r="C31" s="14" t="n">
        <v>500</v>
      </c>
      <c r="D31" t="inlineStr">
        <is>
          <t>$</t>
        </is>
      </c>
    </row>
    <row r="32">
      <c r="B32" t="inlineStr">
        <is>
          <t>Annual Discontinuation</t>
        </is>
      </c>
      <c r="C32" s="11" t="n">
        <v>0.12</v>
      </c>
      <c r="D32" t="inlineStr"/>
    </row>
    <row r="34">
      <c r="B34" s="6" t="inlineStr">
        <is>
          <t>SPIRONOLACTONE TREATMENT PARAMETERS</t>
        </is>
      </c>
      <c r="C34" s="7" t="n"/>
      <c r="D34" s="7" t="n"/>
      <c r="E34" s="8" t="n"/>
    </row>
    <row r="35">
      <c r="B35" t="inlineStr">
        <is>
          <t>SBP Reduction - Mean</t>
        </is>
      </c>
      <c r="C35" s="13" t="n">
        <v>9</v>
      </c>
      <c r="D35" t="inlineStr">
        <is>
          <t>mmHg</t>
        </is>
      </c>
    </row>
    <row r="36">
      <c r="B36" t="inlineStr">
        <is>
          <t>SBP Reduction - SD</t>
        </is>
      </c>
      <c r="C36" s="13" t="n">
        <v>6</v>
      </c>
      <c r="D36" t="inlineStr">
        <is>
          <t>mmHg</t>
        </is>
      </c>
    </row>
    <row r="37">
      <c r="B37" t="inlineStr">
        <is>
          <t>Monthly Drug Cost</t>
        </is>
      </c>
      <c r="C37" s="14" t="n">
        <v>15</v>
      </c>
      <c r="D37" t="inlineStr">
        <is>
          <t>$</t>
        </is>
      </c>
    </row>
    <row r="38">
      <c r="B38" t="inlineStr">
        <is>
          <t>Annual Discontinuation</t>
        </is>
      </c>
      <c r="C38" s="11" t="n">
        <v>0.15</v>
      </c>
      <c r="D38" t="inlineStr"/>
    </row>
    <row r="40">
      <c r="B40" s="6" t="inlineStr">
        <is>
          <t>UTILITY VALUES (QALY Weights)</t>
        </is>
      </c>
      <c r="C40" s="7" t="n"/>
      <c r="D40" s="7" t="n"/>
      <c r="E40" s="8" t="n"/>
    </row>
    <row r="41">
      <c r="B41" t="inlineStr">
        <is>
          <t>Controlled HTN</t>
        </is>
      </c>
      <c r="C41" s="15" t="n">
        <v>0.85</v>
      </c>
      <c r="D41" t="inlineStr"/>
    </row>
    <row r="42">
      <c r="B42" t="inlineStr">
        <is>
          <t>Uncontrolled HTN</t>
        </is>
      </c>
      <c r="C42" s="15" t="n">
        <v>0.8</v>
      </c>
      <c r="D42" t="inlineStr"/>
    </row>
    <row r="43">
      <c r="B43" t="inlineStr">
        <is>
          <t>Disutility - MI</t>
        </is>
      </c>
      <c r="C43" s="15" t="n">
        <v>0.05</v>
      </c>
      <c r="D43" t="inlineStr"/>
    </row>
    <row r="44">
      <c r="B44" t="inlineStr">
        <is>
          <t>Disutility - Stroke</t>
        </is>
      </c>
      <c r="C44" s="15" t="n">
        <v>0.15</v>
      </c>
      <c r="D44" t="inlineStr"/>
    </row>
    <row r="45">
      <c r="B45" t="inlineStr">
        <is>
          <t>Disutility - HF</t>
        </is>
      </c>
      <c r="C45" s="15" t="n">
        <v>0.1</v>
      </c>
      <c r="D45" t="inlineStr"/>
    </row>
    <row r="46">
      <c r="B46" t="inlineStr">
        <is>
          <t>Disutility - ESRD</t>
        </is>
      </c>
      <c r="C46" s="15" t="n">
        <v>0.2</v>
      </c>
      <c r="D46" t="inlineStr"/>
    </row>
    <row r="48">
      <c r="B48" s="6" t="inlineStr">
        <is>
          <t>EVENT COSTS (US Dollars)</t>
        </is>
      </c>
      <c r="C48" s="7" t="n"/>
      <c r="D48" s="7" t="n"/>
      <c r="E48" s="8" t="n"/>
    </row>
    <row r="49">
      <c r="B49" t="inlineStr">
        <is>
          <t>MI - Acute Event</t>
        </is>
      </c>
      <c r="C49" s="14" t="n">
        <v>25000</v>
      </c>
      <c r="D49" t="inlineStr"/>
    </row>
    <row r="50">
      <c r="B50" t="inlineStr">
        <is>
          <t>Stroke - Acute Event</t>
        </is>
      </c>
      <c r="C50" s="14" t="n">
        <v>15200</v>
      </c>
      <c r="D50" t="inlineStr"/>
    </row>
    <row r="51">
      <c r="B51" t="inlineStr">
        <is>
          <t>HF Admission</t>
        </is>
      </c>
      <c r="C51" s="14" t="n">
        <v>18000</v>
      </c>
      <c r="D51" t="inlineStr"/>
    </row>
    <row r="52">
      <c r="B52" t="inlineStr">
        <is>
          <t>ESRD - Annual</t>
        </is>
      </c>
      <c r="C52" s="14" t="n">
        <v>90000</v>
      </c>
      <c r="D52" t="inlineStr"/>
    </row>
  </sheetData>
  <mergeCells count="8">
    <mergeCell ref="B40:E40"/>
    <mergeCell ref="B12:E12"/>
    <mergeCell ref="B21:E21"/>
    <mergeCell ref="B48:E48"/>
    <mergeCell ref="B5:E5"/>
    <mergeCell ref="B2:E2"/>
    <mergeCell ref="B28:E28"/>
    <mergeCell ref="B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8" customWidth="1" min="4" max="4"/>
  </cols>
  <sheetData>
    <row r="2">
      <c r="B2" s="4" t="inlineStr">
        <is>
          <t>COST-EFFECTIVENESS RESULTS</t>
        </is>
      </c>
    </row>
    <row r="3">
      <c r="B3" s="16" t="inlineStr">
        <is>
          <t>Last Run: 2026-02-03T18:46:01.238238</t>
        </is>
      </c>
    </row>
    <row r="5">
      <c r="B5" s="6" t="inlineStr">
        <is>
          <t>KEY METRICS</t>
        </is>
      </c>
      <c r="C5" s="7" t="n"/>
      <c r="D5" s="8" t="n"/>
    </row>
    <row r="6">
      <c r="B6" t="inlineStr">
        <is>
          <t>ICER ($/QALY)</t>
        </is>
      </c>
      <c r="C6" s="17" t="n">
        <v>36495.49999007116</v>
      </c>
    </row>
    <row r="8">
      <c r="B8" t="inlineStr">
        <is>
          <t>IXA-001 Mean Costs</t>
        </is>
      </c>
      <c r="C8" s="17" t="n">
        <v>137393.333984101</v>
      </c>
    </row>
    <row r="9">
      <c r="B9" t="inlineStr">
        <is>
          <t>Spironolactone Mean Costs</t>
        </is>
      </c>
      <c r="C9" s="17" t="n">
        <v>122496.3936413415</v>
      </c>
    </row>
    <row r="10">
      <c r="B10" t="inlineStr">
        <is>
          <t>Incremental Costs</t>
        </is>
      </c>
      <c r="C10" s="17" t="n">
        <v>14896.94034275947</v>
      </c>
    </row>
    <row r="12">
      <c r="B12" t="inlineStr">
        <is>
          <t>IXA-001 Mean QALYs</t>
        </is>
      </c>
      <c r="C12" s="18" t="n">
        <v>7.389333313476818</v>
      </c>
    </row>
    <row r="13">
      <c r="B13" t="inlineStr">
        <is>
          <t>Spironolactone Mean QALYs</t>
        </is>
      </c>
      <c r="C13" s="18" t="n">
        <v>6.981147637247906</v>
      </c>
    </row>
    <row r="14">
      <c r="B14" t="inlineStr">
        <is>
          <t>Incremental QALYs</t>
        </is>
      </c>
      <c r="C14" s="18" t="n">
        <v>0.4081856762289124</v>
      </c>
    </row>
    <row r="16">
      <c r="B16" s="6" t="inlineStr">
        <is>
          <t>EVENT COUNTS (per 1,000 patients)</t>
        </is>
      </c>
      <c r="C16" s="7" t="n"/>
      <c r="D16" s="8" t="n"/>
    </row>
    <row r="17">
      <c r="B17" s="6" t="inlineStr">
        <is>
          <t>Event</t>
        </is>
      </c>
      <c r="C17" s="6" t="inlineStr">
        <is>
          <t>IXA-001</t>
        </is>
      </c>
      <c r="D17" s="6" t="inlineStr">
        <is>
          <t>Spironolactone</t>
        </is>
      </c>
    </row>
    <row r="18">
      <c r="B18" t="inlineStr">
        <is>
          <t>Myocardial Infarction</t>
        </is>
      </c>
      <c r="C18" t="n">
        <v>108</v>
      </c>
      <c r="D18" t="n">
        <v>111</v>
      </c>
    </row>
    <row r="19">
      <c r="B19" t="inlineStr">
        <is>
          <t>Stroke (Total)</t>
        </is>
      </c>
      <c r="C19" t="n">
        <v>73</v>
      </c>
      <c r="D19" t="n">
        <v>116</v>
      </c>
    </row>
    <row r="20">
      <c r="B20" t="inlineStr">
        <is>
          <t>Heart Failure</t>
        </is>
      </c>
      <c r="C20" t="n">
        <v>51</v>
      </c>
      <c r="D20" t="n">
        <v>56</v>
      </c>
    </row>
    <row r="21">
      <c r="B21" t="inlineStr">
        <is>
          <t>ESRD</t>
        </is>
      </c>
      <c r="C21" t="n">
        <v>52</v>
      </c>
      <c r="D21" t="n">
        <v>61</v>
      </c>
    </row>
    <row r="22">
      <c r="B22" t="inlineStr">
        <is>
          <t>CV Death</t>
        </is>
      </c>
      <c r="C22" t="n">
        <v>231</v>
      </c>
      <c r="D22" t="n">
        <v>243</v>
      </c>
    </row>
    <row r="25">
      <c r="B25" s="6" t="inlineStr">
        <is>
          <t>INTERPRETATION</t>
        </is>
      </c>
      <c r="C25" s="7" t="n"/>
      <c r="D25" s="8" t="n"/>
    </row>
    <row r="26">
      <c r="B26" s="19" t="inlineStr">
        <is>
          <t>IXA-001 is HIGHLY COST-EFFECTIVE (ICER &lt; $50,000/QALY)</t>
        </is>
      </c>
    </row>
  </sheetData>
  <mergeCells count="4">
    <mergeCell ref="B2:F2"/>
    <mergeCell ref="B25:D25"/>
    <mergeCell ref="B5:D5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4" t="inlineStr">
        <is>
          <t>PRE-COMPUTED SCENARIOS</t>
        </is>
      </c>
    </row>
    <row r="3">
      <c r="B3" s="20" t="inlineStr">
        <is>
          <t>Instant results - no waiting required!</t>
        </is>
      </c>
    </row>
    <row r="5">
      <c r="B5" s="6" t="inlineStr">
        <is>
          <t>SCENARIO COMPARISON</t>
        </is>
      </c>
      <c r="C5" s="7" t="n"/>
      <c r="D5" s="7" t="n"/>
      <c r="E5" s="7" t="n"/>
      <c r="F5" s="7" t="n"/>
      <c r="G5" s="7" t="n"/>
      <c r="H5" s="8" t="n"/>
    </row>
    <row r="6">
      <c r="B6" s="6" t="inlineStr">
        <is>
          <t>Scenario</t>
        </is>
      </c>
      <c r="C6" s="6" t="inlineStr">
        <is>
          <t>IXA Cost</t>
        </is>
      </c>
      <c r="D6" s="6" t="inlineStr">
        <is>
          <t>ICER</t>
        </is>
      </c>
      <c r="E6" s="6" t="inlineStr">
        <is>
          <t>Incr. Costs</t>
        </is>
      </c>
      <c r="F6" s="6" t="inlineStr">
        <is>
          <t>Incr. QALYs</t>
        </is>
      </c>
      <c r="G6" s="6" t="inlineStr">
        <is>
          <t>Strokes Avoided</t>
        </is>
      </c>
      <c r="H6" s="6" t="inlineStr">
        <is>
          <t>Interpretation</t>
        </is>
      </c>
    </row>
    <row r="7">
      <c r="B7" t="inlineStr">
        <is>
          <t>base_case</t>
        </is>
      </c>
      <c r="C7" s="21" t="n">
        <v>6000</v>
      </c>
      <c r="D7" s="21" t="n">
        <v>36495.49999007116</v>
      </c>
      <c r="E7" s="21" t="n">
        <v>14896.94034275947</v>
      </c>
      <c r="F7" s="22" t="n">
        <v>0.4081856762289124</v>
      </c>
      <c r="G7" t="n">
        <v>43</v>
      </c>
      <c r="H7" s="23" t="inlineStr">
        <is>
          <t>Cost-Effective</t>
        </is>
      </c>
    </row>
    <row r="8">
      <c r="B8" t="inlineStr">
        <is>
          <t>price_300</t>
        </is>
      </c>
      <c r="C8" s="21" t="n">
        <v>3600</v>
      </c>
      <c r="D8" s="21" t="n">
        <v>57228.84961166701</v>
      </c>
      <c r="E8" s="21" t="n">
        <v>22882.40664390073</v>
      </c>
      <c r="F8" s="22" t="n">
        <v>0.3998404091497898</v>
      </c>
      <c r="G8" t="n">
        <v>32</v>
      </c>
      <c r="H8" s="23" t="inlineStr">
        <is>
          <t>Cost-Effective</t>
        </is>
      </c>
    </row>
    <row r="9">
      <c r="B9" t="inlineStr">
        <is>
          <t>price_400</t>
        </is>
      </c>
      <c r="C9" s="21" t="n">
        <v>4800</v>
      </c>
      <c r="D9" s="21" t="n">
        <v>69706.28065342696</v>
      </c>
      <c r="E9" s="21" t="n">
        <v>15680.68177956773</v>
      </c>
      <c r="F9" s="22" t="n">
        <v>0.2249536430946675</v>
      </c>
      <c r="G9" t="n">
        <v>47</v>
      </c>
      <c r="H9" s="23" t="inlineStr">
        <is>
          <t>Cost-Effective</t>
        </is>
      </c>
    </row>
    <row r="10">
      <c r="B10" t="inlineStr">
        <is>
          <t>price_500</t>
        </is>
      </c>
      <c r="C10" s="21" t="n">
        <v>6000</v>
      </c>
      <c r="D10" s="21" t="n">
        <v>49507.30848051915</v>
      </c>
      <c r="E10" s="21" t="n">
        <v>21573.1404103324</v>
      </c>
      <c r="F10" s="22" t="n">
        <v>0.4357566806287059</v>
      </c>
      <c r="G10" t="n">
        <v>33</v>
      </c>
      <c r="H10" s="23" t="inlineStr">
        <is>
          <t>Cost-Effective</t>
        </is>
      </c>
    </row>
    <row r="11">
      <c r="B11" t="inlineStr">
        <is>
          <t>price_600</t>
        </is>
      </c>
      <c r="C11" s="21" t="n">
        <v>7200</v>
      </c>
      <c r="D11" s="21" t="n">
        <v>64874.66650231816</v>
      </c>
      <c r="E11" s="21" t="n">
        <v>18218.31527113842</v>
      </c>
      <c r="F11" s="22" t="n">
        <v>0.2808232589602202</v>
      </c>
      <c r="G11" t="n">
        <v>37</v>
      </c>
      <c r="H11" s="23" t="inlineStr">
        <is>
          <t>Cost-Effective</t>
        </is>
      </c>
    </row>
    <row r="12">
      <c r="B12" t="inlineStr">
        <is>
          <t>price_700</t>
        </is>
      </c>
      <c r="C12" s="21" t="n">
        <v>8400</v>
      </c>
      <c r="D12" s="21" t="n">
        <v>47875.42837495347</v>
      </c>
      <c r="E12" s="21" t="n">
        <v>17885.5412844302</v>
      </c>
      <c r="F12" s="22" t="n">
        <v>0.373584986944727</v>
      </c>
      <c r="G12" t="n">
        <v>40</v>
      </c>
      <c r="H12" s="23" t="inlineStr">
        <is>
          <t>Cost-Effective</t>
        </is>
      </c>
    </row>
    <row r="13">
      <c r="B13" t="inlineStr">
        <is>
          <t>price_800</t>
        </is>
      </c>
      <c r="C13" s="21" t="n">
        <v>9600</v>
      </c>
      <c r="D13" s="21" t="n">
        <v>45758.00850799858</v>
      </c>
      <c r="E13" s="21" t="n">
        <v>25130.42921260605</v>
      </c>
      <c r="F13" s="22" t="n">
        <v>0.5492028615758748</v>
      </c>
      <c r="G13" t="n">
        <v>38</v>
      </c>
      <c r="H13" s="23" t="inlineStr">
        <is>
          <t>Cost-Effective</t>
        </is>
      </c>
    </row>
  </sheetData>
  <mergeCells count="2">
    <mergeCell ref="B5:H5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20" customWidth="1" min="4" max="4"/>
  </cols>
  <sheetData>
    <row r="2">
      <c r="B2" s="4" t="inlineStr">
        <is>
          <t>SENSITIVITY ANALYSIS</t>
        </is>
      </c>
    </row>
    <row r="4">
      <c r="B4" s="6" t="inlineStr">
        <is>
          <t>IXA-001 PRICE SENSITIVITY</t>
        </is>
      </c>
      <c r="C4" s="7" t="n"/>
      <c r="D4" s="8" t="n"/>
    </row>
    <row r="5">
      <c r="B5" s="6" t="inlineStr">
        <is>
          <t>Monthly Price</t>
        </is>
      </c>
      <c r="C5" s="6" t="inlineStr">
        <is>
          <t>Annual Cost</t>
        </is>
      </c>
      <c r="D5" s="6" t="inlineStr">
        <is>
          <t>ICER</t>
        </is>
      </c>
    </row>
    <row r="6">
      <c r="B6" s="21" t="n">
        <v>300</v>
      </c>
      <c r="C6" s="21" t="n">
        <v>3600</v>
      </c>
      <c r="D6" t="inlineStr">
        <is>
          <t>[Run scenarios]</t>
        </is>
      </c>
    </row>
    <row r="7">
      <c r="B7" s="21" t="n">
        <v>400</v>
      </c>
      <c r="C7" s="21" t="n">
        <v>4800</v>
      </c>
      <c r="D7" t="inlineStr">
        <is>
          <t>[Run scenarios]</t>
        </is>
      </c>
    </row>
    <row r="8">
      <c r="B8" s="21" t="n">
        <v>500</v>
      </c>
      <c r="C8" s="21" t="n">
        <v>6000</v>
      </c>
      <c r="D8" t="inlineStr">
        <is>
          <t>[Run scenarios]</t>
        </is>
      </c>
    </row>
    <row r="9">
      <c r="B9" s="21" t="n">
        <v>600</v>
      </c>
      <c r="C9" s="21" t="n">
        <v>7200</v>
      </c>
      <c r="D9" t="inlineStr">
        <is>
          <t>[Run scenarios]</t>
        </is>
      </c>
    </row>
    <row r="10">
      <c r="B10" s="21" t="n">
        <v>700</v>
      </c>
      <c r="C10" s="21" t="n">
        <v>8400</v>
      </c>
      <c r="D10" t="inlineStr">
        <is>
          <t>[Run scenarios]</t>
        </is>
      </c>
    </row>
    <row r="11">
      <c r="B11" s="21" t="n">
        <v>800</v>
      </c>
      <c r="C11" s="21" t="n">
        <v>9600</v>
      </c>
      <c r="D11" t="inlineStr">
        <is>
          <t>[Run scenarios]</t>
        </is>
      </c>
    </row>
    <row r="14">
      <c r="B14" s="6" t="inlineStr">
        <is>
          <t>SUBGROUP ANALYSIS</t>
        </is>
      </c>
      <c r="C14" s="7" t="n"/>
      <c r="D14" s="8" t="n"/>
    </row>
    <row r="15">
      <c r="B15" s="6" t="inlineStr">
        <is>
          <t>Subgroup</t>
        </is>
      </c>
      <c r="C15" s="6" t="inlineStr">
        <is>
          <t>ICER</t>
        </is>
      </c>
      <c r="D15" s="6" t="inlineStr">
        <is>
          <t>Interpretation</t>
        </is>
      </c>
    </row>
    <row r="16">
      <c r="B16" t="inlineStr">
        <is>
          <t>Diabetic Patients</t>
        </is>
      </c>
      <c r="C16" t="inlineStr">
        <is>
          <t>[Run scenarios]</t>
        </is>
      </c>
      <c r="D16" t="inlineStr">
        <is>
          <t>-</t>
        </is>
      </c>
    </row>
    <row r="17">
      <c r="B17" t="inlineStr">
        <is>
          <t>CKD Stage 3+</t>
        </is>
      </c>
      <c r="C17" t="inlineStr">
        <is>
          <t>[Run scenarios]</t>
        </is>
      </c>
      <c r="D17" t="inlineStr">
        <is>
          <t>-</t>
        </is>
      </c>
    </row>
    <row r="18">
      <c r="B18" t="inlineStr">
        <is>
          <t>Prior CV Event</t>
        </is>
      </c>
      <c r="C18" t="inlineStr">
        <is>
          <t>[Run scenarios]</t>
        </is>
      </c>
      <c r="D18" t="inlineStr">
        <is>
          <t>-</t>
        </is>
      </c>
    </row>
    <row r="19">
      <c r="B19" t="inlineStr">
        <is>
          <t>Age &gt; 70</t>
        </is>
      </c>
      <c r="C19" t="inlineStr">
        <is>
          <t>[Run scenarios]</t>
        </is>
      </c>
      <c r="D19" t="inlineStr">
        <is>
          <t>-</t>
        </is>
      </c>
    </row>
  </sheetData>
  <mergeCells count="3">
    <mergeCell ref="B2:F2"/>
    <mergeCell ref="B14:D14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2026-02-03T17:48:30Z</dcterms:created>
  <dcterms:modified xmlns:dcterms="http://purl.org/dc/terms/" xmlns:xsi="http://www.w3.org/2001/XMLSchema-instance" xsi:type="dcterms:W3CDTF">2026-02-03T17:48:31Z</dcterms:modified>
</cp:coreProperties>
</file>